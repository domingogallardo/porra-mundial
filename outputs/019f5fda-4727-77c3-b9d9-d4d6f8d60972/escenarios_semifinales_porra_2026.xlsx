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15b31fa42f4e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cenarios" sheetId="1" r:id="Ra9dada5cfa5e4a59"/>
    <x:sheet xmlns:r="http://schemas.openxmlformats.org/officeDocument/2006/relationships" name="Cálculo" sheetId="2" r:id="R7b04ee5ef9194d3d"/>
    <x:sheet xmlns:r="http://schemas.openxmlformats.org/officeDocument/2006/relationships" name="Fuentes" sheetId="3" r:id="R3decf2f8a3a54a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3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15E59"/>
      <x:name val="Carlito"/>
    </x:font>
    <x:font>
      <x:b/>
      <x:sz val="11"/>
      <x:color rgb="FF111827"/>
      <x:name val="Carlito"/>
    </x:font>
    <x:font>
      <x:sz val="11"/>
      <x:color rgb="FF111827"/>
      <x:name val="Carlito"/>
    </x:font>
    <x:font>
      <x:i/>
      <x:sz val="9"/>
      <x:color rgb="FF78350F"/>
      <x:name val="Carlito"/>
    </x:font>
    <x:font>
      <x:b/>
      <x:i/>
      <x:sz val="9"/>
      <x:color rgb="FF78350F"/>
      <x:name val="Carlito"/>
    </x:font>
    <x:font>
      <x:b/>
      <x:sz val="14"/>
      <x:color rgb="FFFFFFFF"/>
      <x:name val="Carlito"/>
    </x:font>
    <x:font>
      <x:b/>
      <x:sz val="10"/>
      <x:color rgb="FF111827"/>
      <x:name val="Carlito"/>
    </x:font>
    <x:font>
      <x:sz val="10"/>
      <x:color rgb="FF111827"/>
      <x:name val="Carlito"/>
    </x:font>
    <x:font>
      <x:i/>
      <x:sz val="9"/>
      <x:color rgb="FF475569"/>
      <x:name val="Carlito"/>
    </x:font>
    <x:font>
      <x:b/>
      <x:sz val="11"/>
      <x:color rgb="FFFFFFFF"/>
      <x:name val="Carlito"/>
    </x:font>
    <x:font>
      <x:sz val="1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  <x:fill>
      <x:patternFill patternType="solid">
        <x:fgColor rgb="FFF0FDFA"/>
      </x:patternFill>
    </x:fill>
  </x:fills>
  <x:borders count="6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F59E0B"/>
      </x:left>
      <x:top style="thin">
        <x:color rgb="FFF59E0B"/>
      </x:top>
      <x:bottom style="thin">
        <x:color rgb="FFF59E0B"/>
      </x:bottom>
    </x:border>
    <x:border>
      <x:top style="thin">
        <x:color rgb="FFF59E0B"/>
      </x:top>
      <x:bottom style="thin">
        <x:color rgb="FFF59E0B"/>
      </x:bottom>
    </x:border>
    <x:border>
      <x:right style="thin">
        <x:color rgb="FFF59E0B"/>
      </x:right>
      <x:top style="thin">
        <x:color rgb="FFF59E0B"/>
      </x:top>
      <x:bottom style="thin">
        <x:color rgb="FFF59E0B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3" fillId="6" borderId="2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3" xfId="0" applyNumberFormat="1" applyFont="1" applyFill="1" applyBorder="1"/>
    <x:xf numFmtId="0" fontId="5" fillId="7" borderId="4" xfId="0" applyNumberFormat="1" applyFont="1" applyFill="1" applyBorder="1"/>
    <x:xf numFmtId="0" fontId="5" fillId="7" borderId="5" xfId="0" applyNumberFormat="1" applyFont="1" applyFill="1" applyBorder="1"/>
    <x:xf numFmtId="0" fontId="5" fillId="7" borderId="3" xfId="0" applyNumberFormat="1" applyFont="1" applyFill="1" applyBorder="1" applyAlignment="1">
      <x:alignment vertical="center"/>
    </x:xf>
    <x:xf numFmtId="0" fontId="5" fillId="7" borderId="4" xfId="0" applyNumberFormat="1" applyFont="1" applyFill="1" applyBorder="1" applyAlignment="1">
      <x:alignment vertical="center"/>
    </x:xf>
    <x:xf numFmtId="0" fontId="5" fillId="7" borderId="5" xfId="0" applyNumberFormat="1" applyFont="1" applyFill="1" applyBorder="1" applyAlignment="1">
      <x:alignment vertical="center"/>
    </x:xf>
    <x:xf numFmtId="0" fontId="6" fillId="7" borderId="3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0"/>
    </x:xf>
    <x:xf numFmtId="0" fontId="2" fillId="3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0" fontId="3" fillId="4" borderId="1" xfId="0" applyNumberFormat="1" applyFont="1" applyFill="1" applyBorder="1" applyAlignment="1">
      <x:alignment vertical="center" wrapText="0"/>
    </x:xf>
    <x:xf numFmtId="0" fontId="4" fillId="5" borderId="2" xfId="0" applyNumberFormat="1" applyFont="1" applyFill="1" applyBorder="1" applyAlignment="1">
      <x:alignment vertical="center" wrapText="0"/>
    </x:xf>
    <x:xf numFmtId="0" fontId="3" fillId="6" borderId="2" xfId="0" applyNumberFormat="1" applyFont="1" applyFill="1" applyBorder="1" applyAlignment="1">
      <x:alignment vertical="center" wrapText="0"/>
    </x:xf>
    <x:xf numFmtId="0" fontId="6" fillId="7" borderId="3" xfId="0" applyNumberFormat="1" applyFont="1" applyFill="1" applyBorder="1" applyAlignment="1">
      <x:alignment vertical="center" wrapText="0"/>
    </x:xf>
    <x:xf numFmtId="0" fontId="5" fillId="7" borderId="4" xfId="0" applyNumberFormat="1" applyFont="1" applyFill="1" applyBorder="1" applyAlignment="1">
      <x:alignment vertical="center" wrapText="0"/>
    </x:xf>
    <x:xf numFmtId="0" fontId="5" fillId="7" borderId="5" xfId="0" applyNumberFormat="1" applyFont="1" applyFill="1" applyBorder="1" applyAlignment="1">
      <x:alignment vertical="center" wrapText="0"/>
    </x:xf>
    <x:xf numFmtId="0" fontId="7" fillId="2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2" xfId="0" applyNumberFormat="1" applyFont="1" applyFill="1" applyBorder="1"/>
    <x:xf numFmtId="0" fontId="9" fillId="0" borderId="2" xfId="0" applyNumberFormat="1" applyFont="1" applyFill="1" applyBorder="1" applyAlignment="1">
      <x:alignment vertical="center"/>
    </x:xf>
    <x:xf numFmtId="0" fontId="9" fillId="8" borderId="2" xfId="0" applyNumberFormat="1" applyFont="1" applyFill="1" applyBorder="1" applyAlignment="1">
      <x:alignment vertical="center"/>
    </x:xf>
    <x:xf numFmtId="0" fontId="9" fillId="7" borderId="2" xfId="0" applyNumberFormat="1" applyFont="1" applyFill="1" applyBorder="1" applyAlignment="1">
      <x:alignment vertical="center"/>
    </x:xf>
    <x:xf numFmtId="200" fontId="9" fillId="7" borderId="2" xfId="0" applyNumberFormat="1" applyFont="1" applyFill="1" applyBorder="1" applyAlignment="1">
      <x:alignment vertical="center"/>
    </x:xf>
    <x:xf numFmtId="200" fontId="9" fillId="8" borderId="2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/>
    <x:xf numFmtId="0" fontId="12" fillId="0" borderId="0" xfId="0" applyNumberFormat="1" applyFont="1" applyFill="1" applyBorder="1"/>
    <x:xf numFmtId="0" fontId="12" fillId="0" borderId="2" xfId="0" applyNumberFormat="1" applyFont="1" applyFill="1" applyBorder="1"/>
    <x:xf numFmtId="0" fontId="12" fillId="0" borderId="2" xfId="0" applyNumberFormat="1" applyFont="1" applyFill="1" applyBorder="1" applyAlignment="1">
      <x:alignment wrapText="1"/>
    </x:xf>
    <x:xf numFmtId="0" fontId="12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2e2bf823ef434c" /><Relationship Type="http://schemas.openxmlformats.org/officeDocument/2006/relationships/theme" Target="/xl/theme/theme1.xml" Id="R1e8111135df14b36" /><Relationship Type="http://schemas.openxmlformats.org/officeDocument/2006/relationships/sharedStrings" Target="/xl/sharedStrings.xml" Id="Rd1f8a963a5374265" /><Relationship Type="http://schemas.openxmlformats.org/officeDocument/2006/relationships/worksheet" Target="/xl/worksheets/sheet1.xml" Id="Ra9dada5cfa5e4a59" /><Relationship Type="http://schemas.openxmlformats.org/officeDocument/2006/relationships/worksheet" Target="/xl/worksheets/sheet2.xml" Id="R7b04ee5ef9194d3d" /><Relationship Type="http://schemas.openxmlformats.org/officeDocument/2006/relationships/worksheet" Target="/xl/worksheets/sheet3.xml" Id="R3decf2f8a3a54a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5" hidden="0" customWidth="1"/>
    <x:col min="4" max="4" width="54" hidden="0" customWidth="1"/>
  </x:cols>
  <x:sheetData>
    <x:row r="1" ht="34" customHeight="1">
      <x:c r="A1" s="26" t="str">
        <x:v>Escenarios de semifinales · Porra Mundial 2026</x:v>
      </x:c>
      <x:c r="B1" s="26"/>
      <x:c r="C1" s="26"/>
      <x:c r="D1" s="26"/>
    </x:row>
    <x:row r="2" ht="25" customHeight="1">
      <x:c r="A2" s="27" t="str">
        <x:v>Semifinal 1: Francia–España · Semifinal 2: Inglaterra–Argentina · ChatGPT excluido</x:v>
      </x:c>
      <x:c r="B2" s="27"/>
      <x:c r="C2" s="27"/>
      <x:c r="D2" s="27"/>
    </x:row>
    <x:row r="3">
      <x:c r="A3" s="28"/>
      <x:c r="B3" s="28"/>
      <x:c r="C3" s="28"/>
      <x:c r="D3" s="28"/>
    </x:row>
    <x:row r="4" ht="25" customHeight="1">
      <x:c r="A4" s="29" t="str">
        <x:v>Ganador Semi 1</x:v>
      </x:c>
      <x:c r="B4" s="29" t="str">
        <x:v>Ganador Semi 2</x:v>
      </x:c>
      <x:c r="C4" s="29" t="str">
        <x:v>Campeón</x:v>
      </x:c>
      <x:c r="D4" s="29" t="str">
        <x:v>Ganadores de la porra</x:v>
      </x:c>
    </x:row>
    <x:row r="5" ht="25" customHeight="1">
      <x:c r="A5" s="30" t="str">
        <x:v>Francia</x:v>
      </x:c>
      <x:c r="B5" s="30" t="str">
        <x:v>Inglaterra</x:v>
      </x:c>
      <x:c r="C5" s="30" t="str">
        <x:v>Francia</x:v>
      </x:c>
      <x:c r="D5" s="31" t="str">
        <x:v>1º: Jose · 2º: Domi · 3º: Ángel y Carlos</x:v>
      </x:c>
    </x:row>
    <x:row r="6" ht="25" customHeight="1">
      <x:c r="A6" s="30" t="str">
        <x:v>Francia</x:v>
      </x:c>
      <x:c r="B6" s="30" t="str">
        <x:v>Inglaterra</x:v>
      </x:c>
      <x:c r="C6" s="30" t="str">
        <x:v>Inglaterra</x:v>
      </x:c>
      <x:c r="D6" s="31" t="str">
        <x:v>1º: Domi · 2º: Ángel y Carlos · 3º: Juli</x:v>
      </x:c>
    </x:row>
    <x:row r="7" ht="25" customHeight="1">
      <x:c r="A7" s="30" t="str">
        <x:v>Francia</x:v>
      </x:c>
      <x:c r="B7" s="30" t="str">
        <x:v>Argentina</x:v>
      </x:c>
      <x:c r="C7" s="30" t="str">
        <x:v>Francia</x:v>
      </x:c>
      <x:c r="D7" s="31" t="str">
        <x:v>1º: Jose · 2º: Ángel y Carlos · 3º: Conso</x:v>
      </x:c>
    </x:row>
    <x:row r="8" ht="25" customHeight="1">
      <x:c r="A8" s="30" t="str">
        <x:v>Francia</x:v>
      </x:c>
      <x:c r="B8" s="30" t="str">
        <x:v>Argentina</x:v>
      </x:c>
      <x:c r="C8" s="30" t="str">
        <x:v>Argentina</x:v>
      </x:c>
      <x:c r="D8" s="31" t="str">
        <x:v>1º: Ángel · 2º: Carlos · 3º: Conso</x:v>
      </x:c>
    </x:row>
    <x:row r="9" ht="25" customHeight="1">
      <x:c r="A9" s="30" t="str">
        <x:v>España</x:v>
      </x:c>
      <x:c r="B9" s="30" t="str">
        <x:v>Inglaterra</x:v>
      </x:c>
      <x:c r="C9" s="30" t="str">
        <x:v>España</x:v>
      </x:c>
      <x:c r="D9" s="31" t="str">
        <x:v>1º: Carlos · 2º: Conso · 3º: Pablo</x:v>
      </x:c>
    </x:row>
    <x:row r="10" ht="25" customHeight="1">
      <x:c r="A10" s="30" t="str">
        <x:v>España</x:v>
      </x:c>
      <x:c r="B10" s="30" t="str">
        <x:v>Inglaterra</x:v>
      </x:c>
      <x:c r="C10" s="30" t="str">
        <x:v>Inglaterra</x:v>
      </x:c>
      <x:c r="D10" s="31" t="str">
        <x:v>1º: Domi · 2º: Ángel y Carlos · 3º: Conso</x:v>
      </x:c>
    </x:row>
    <x:row r="11" ht="25" customHeight="1">
      <x:c r="A11" s="30" t="str">
        <x:v>España</x:v>
      </x:c>
      <x:c r="B11" s="30" t="str">
        <x:v>Argentina</x:v>
      </x:c>
      <x:c r="C11" s="30" t="str">
        <x:v>España</x:v>
      </x:c>
      <x:c r="D11" s="31" t="str">
        <x:v>1º: Carlos · 2º: Conso · 3º: Pablo</x:v>
      </x:c>
    </x:row>
    <x:row r="12" ht="25" customHeight="1">
      <x:c r="A12" s="30" t="str">
        <x:v>España</x:v>
      </x:c>
      <x:c r="B12" s="30" t="str">
        <x:v>Argentina</x:v>
      </x:c>
      <x:c r="C12" s="30" t="str">
        <x:v>Argentina</x:v>
      </x:c>
      <x:c r="D12" s="31" t="str">
        <x:v>1º: Ángel · 2º: Carlos · 3º: Conso</x:v>
      </x:c>
    </x:row>
    <x:row r="13">
      <x:c r="A13" s="28"/>
      <x:c r="B13" s="28"/>
      <x:c r="C13" s="28"/>
      <x:c r="D13" s="28"/>
    </x:row>
    <x:row r="14" ht="24" customHeight="1">
      <x:c r="A14" s="32" t="str">
        <x:v>Criterio</x:v>
      </x:c>
      <x:c r="B14" s="33" t="str">
        <x:v>Los empates comparten puesto; se muestran los tres primeros niveles de puntuación.</x:v>
      </x:c>
      <x:c r="C14" s="33"/>
      <x:c r="D14" s="34"/>
    </x:row>
  </x:sheetData>
  <x:mergeCells>
    <x:mergeCell ref="A1:D1"/>
    <x:mergeCell ref="A2:D2"/>
    <x:mergeCell ref="B14:D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9" hidden="0" customWidth="1"/>
    <x:col min="4" max="4" width="19" hidden="0" customWidth="1"/>
    <x:col min="5" max="5" width="19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>
      <x:c r="A1" s="35" t="str">
        <x:v>Cálculo de puntos por escenario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</x:row>
    <x:row r="2" ht="32" customHeight="1">
      <x:c r="A2" s="39" t="str">
        <x:v>Participante</x:v>
      </x:c>
      <x:c r="B2" s="39" t="str">
        <x:v>Puntos antes de semis</x:v>
      </x:c>
      <x:c r="C2" s="39" t="str">
        <x:v>Finalista previsto 1</x:v>
      </x:c>
      <x:c r="D2" s="39" t="str">
        <x:v>Finalista previsto 2</x:v>
      </x:c>
      <x:c r="E2" s="39" t="str">
        <x:v>Campeón previsto</x:v>
      </x:c>
      <x:c r="F2" s="39" t="str">
        <x:v>Esc. 1</x:v>
      </x:c>
      <x:c r="G2" s="39" t="str">
        <x:v>Esc. 2</x:v>
      </x:c>
      <x:c r="H2" s="39" t="str">
        <x:v>Esc. 3</x:v>
      </x:c>
      <x:c r="I2" s="39" t="str">
        <x:v>Esc. 4</x:v>
      </x:c>
      <x:c r="J2" s="39" t="str">
        <x:v>Esc. 5</x:v>
      </x:c>
      <x:c r="K2" s="39" t="str">
        <x:v>Esc. 6</x:v>
      </x:c>
      <x:c r="L2" s="39" t="str">
        <x:v>Esc. 7</x:v>
      </x:c>
      <x:c r="M2" s="39" t="str">
        <x:v>Esc. 8</x:v>
      </x:c>
    </x:row>
    <x:row r="3">
      <x:c r="A3" s="42" t="str">
        <x:v>Carlos</x:v>
      </x:c>
      <x:c r="B3" s="45" t="n">
        <x:v>103</x:v>
      </x:c>
      <x:c r="C3" s="42" t="str">
        <x:v>España</x:v>
      </x:c>
      <x:c r="D3" s="42" t="str">
        <x:v>Argentina</x:v>
      </x:c>
      <x:c r="E3" s="42" t="str">
        <x:v>España</x:v>
      </x:c>
      <x:c r="F3" s="46" t="n">
        <x:f>$B3+16*(IF(OR($C3='Escenarios'!$A$5,$C3='Escenarios'!$B$5),1,0)+IF(OR($D3='Escenarios'!$A$5,$D3='Escenarios'!$B$5),1,0))+32*IF($E3='Escenarios'!$C$5,1,0)</x:f>
        <x:v>103</x:v>
      </x:c>
      <x:c r="G3" s="46" t="n">
        <x:f>$B3+16*(IF(OR($C3='Escenarios'!$A$6,$C3='Escenarios'!$B$6),1,0)+IF(OR($D3='Escenarios'!$A$6,$D3='Escenarios'!$B$6),1,0))+32*IF($E3='Escenarios'!$C$6,1,0)</x:f>
        <x:v>103</x:v>
      </x:c>
      <x:c r="H3" s="46" t="n">
        <x:f>$B3+16*(IF(OR($C3='Escenarios'!$A$7,$C3='Escenarios'!$B$7),1,0)+IF(OR($D3='Escenarios'!$A$7,$D3='Escenarios'!$B$7),1,0))+32*IF($E3='Escenarios'!$C$7,1,0)</x:f>
        <x:v>119</x:v>
      </x:c>
      <x:c r="I3" s="46" t="n">
        <x:f>$B3+16*(IF(OR($C3='Escenarios'!$A$8,$C3='Escenarios'!$B$8),1,0)+IF(OR($D3='Escenarios'!$A$8,$D3='Escenarios'!$B$8),1,0))+32*IF($E3='Escenarios'!$C$8,1,0)</x:f>
        <x:v>119</x:v>
      </x:c>
      <x:c r="J3" s="46" t="n">
        <x:f>$B3+16*(IF(OR($C3='Escenarios'!$A$9,$C3='Escenarios'!$B$9),1,0)+IF(OR($D3='Escenarios'!$A$9,$D3='Escenarios'!$B$9),1,0))+32*IF($E3='Escenarios'!$C$9,1,0)</x:f>
        <x:v>151</x:v>
      </x:c>
      <x:c r="K3" s="46" t="n">
        <x:f>$B3+16*(IF(OR($C3='Escenarios'!$A$10,$C3='Escenarios'!$B$10),1,0)+IF(OR($D3='Escenarios'!$A$10,$D3='Escenarios'!$B$10),1,0))+32*IF($E3='Escenarios'!$C$10,1,0)</x:f>
        <x:v>119</x:v>
      </x:c>
      <x:c r="L3" s="46" t="n">
        <x:f>$B3+16*(IF(OR($C3='Escenarios'!$A$11,$C3='Escenarios'!$B$11),1,0)+IF(OR($D3='Escenarios'!$A$11,$D3='Escenarios'!$B$11),1,0))+32*IF($E3='Escenarios'!$C$11,1,0)</x:f>
        <x:v>167</x:v>
      </x:c>
      <x:c r="M3" s="46" t="n">
        <x:f>$B3+16*(IF(OR($C3='Escenarios'!$A$12,$C3='Escenarios'!$B$12),1,0)+IF(OR($D3='Escenarios'!$A$12,$D3='Escenarios'!$B$12),1,0))+32*IF($E3='Escenarios'!$C$12,1,0)</x:f>
        <x:v>135</x:v>
      </x:c>
    </x:row>
    <x:row r="4">
      <x:c r="A4" s="42" t="str">
        <x:v>Conso</x:v>
      </x:c>
      <x:c r="B4" s="45" t="n">
        <x:v>99</x:v>
      </x:c>
      <x:c r="C4" s="42" t="str">
        <x:v>España</x:v>
      </x:c>
      <x:c r="D4" s="42" t="str">
        <x:v>Argentina</x:v>
      </x:c>
      <x:c r="E4" s="42" t="str">
        <x:v>España</x:v>
      </x:c>
      <x:c r="F4" s="46" t="n">
        <x:f>$B4+16*(IF(OR($C4='Escenarios'!$A$5,$C4='Escenarios'!$B$5),1,0)+IF(OR($D4='Escenarios'!$A$5,$D4='Escenarios'!$B$5),1,0))+32*IF($E4='Escenarios'!$C$5,1,0)</x:f>
        <x:v>99</x:v>
      </x:c>
      <x:c r="G4" s="46" t="n">
        <x:f>$B4+16*(IF(OR($C4='Escenarios'!$A$6,$C4='Escenarios'!$B$6),1,0)+IF(OR($D4='Escenarios'!$A$6,$D4='Escenarios'!$B$6),1,0))+32*IF($E4='Escenarios'!$C$6,1,0)</x:f>
        <x:v>99</x:v>
      </x:c>
      <x:c r="H4" s="46" t="n">
        <x:f>$B4+16*(IF(OR($C4='Escenarios'!$A$7,$C4='Escenarios'!$B$7),1,0)+IF(OR($D4='Escenarios'!$A$7,$D4='Escenarios'!$B$7),1,0))+32*IF($E4='Escenarios'!$C$7,1,0)</x:f>
        <x:v>115</x:v>
      </x:c>
      <x:c r="I4" s="46" t="n">
        <x:f>$B4+16*(IF(OR($C4='Escenarios'!$A$8,$C4='Escenarios'!$B$8),1,0)+IF(OR($D4='Escenarios'!$A$8,$D4='Escenarios'!$B$8),1,0))+32*IF($E4='Escenarios'!$C$8,1,0)</x:f>
        <x:v>115</x:v>
      </x:c>
      <x:c r="J4" s="46" t="n">
        <x:f>$B4+16*(IF(OR($C4='Escenarios'!$A$9,$C4='Escenarios'!$B$9),1,0)+IF(OR($D4='Escenarios'!$A$9,$D4='Escenarios'!$B$9),1,0))+32*IF($E4='Escenarios'!$C$9,1,0)</x:f>
        <x:v>147</x:v>
      </x:c>
      <x:c r="K4" s="46" t="n">
        <x:f>$B4+16*(IF(OR($C4='Escenarios'!$A$10,$C4='Escenarios'!$B$10),1,0)+IF(OR($D4='Escenarios'!$A$10,$D4='Escenarios'!$B$10),1,0))+32*IF($E4='Escenarios'!$C$10,1,0)</x:f>
        <x:v>115</x:v>
      </x:c>
      <x:c r="L4" s="46" t="n">
        <x:f>$B4+16*(IF(OR($C4='Escenarios'!$A$11,$C4='Escenarios'!$B$11),1,0)+IF(OR($D4='Escenarios'!$A$11,$D4='Escenarios'!$B$11),1,0))+32*IF($E4='Escenarios'!$C$11,1,0)</x:f>
        <x:v>163</x:v>
      </x:c>
      <x:c r="M4" s="46" t="n">
        <x:f>$B4+16*(IF(OR($C4='Escenarios'!$A$12,$C4='Escenarios'!$B$12),1,0)+IF(OR($D4='Escenarios'!$A$12,$D4='Escenarios'!$B$12),1,0))+32*IF($E4='Escenarios'!$C$12,1,0)</x:f>
        <x:v>131</x:v>
      </x:c>
    </x:row>
    <x:row r="5">
      <x:c r="A5" s="42" t="str">
        <x:v>Domi</x:v>
      </x:c>
      <x:c r="B5" s="45" t="n">
        <x:v>99</x:v>
      </x:c>
      <x:c r="C5" s="42" t="str">
        <x:v>España</x:v>
      </x:c>
      <x:c r="D5" s="42" t="str">
        <x:v>Inglaterra</x:v>
      </x:c>
      <x:c r="E5" s="42" t="str">
        <x:v>Inglaterra</x:v>
      </x:c>
      <x:c r="F5" s="46" t="n">
        <x:f>$B5+16*(IF(OR($C5='Escenarios'!$A$5,$C5='Escenarios'!$B$5),1,0)+IF(OR($D5='Escenarios'!$A$5,$D5='Escenarios'!$B$5),1,0))+32*IF($E5='Escenarios'!$C$5,1,0)</x:f>
        <x:v>115</x:v>
      </x:c>
      <x:c r="G5" s="46" t="n">
        <x:f>$B5+16*(IF(OR($C5='Escenarios'!$A$6,$C5='Escenarios'!$B$6),1,0)+IF(OR($D5='Escenarios'!$A$6,$D5='Escenarios'!$B$6),1,0))+32*IF($E5='Escenarios'!$C$6,1,0)</x:f>
        <x:v>147</x:v>
      </x:c>
      <x:c r="H5" s="46" t="n">
        <x:f>$B5+16*(IF(OR($C5='Escenarios'!$A$7,$C5='Escenarios'!$B$7),1,0)+IF(OR($D5='Escenarios'!$A$7,$D5='Escenarios'!$B$7),1,0))+32*IF($E5='Escenarios'!$C$7,1,0)</x:f>
        <x:v>99</x:v>
      </x:c>
      <x:c r="I5" s="46" t="n">
        <x:f>$B5+16*(IF(OR($C5='Escenarios'!$A$8,$C5='Escenarios'!$B$8),1,0)+IF(OR($D5='Escenarios'!$A$8,$D5='Escenarios'!$B$8),1,0))+32*IF($E5='Escenarios'!$C$8,1,0)</x:f>
        <x:v>99</x:v>
      </x:c>
      <x:c r="J5" s="46" t="n">
        <x:f>$B5+16*(IF(OR($C5='Escenarios'!$A$9,$C5='Escenarios'!$B$9),1,0)+IF(OR($D5='Escenarios'!$A$9,$D5='Escenarios'!$B$9),1,0))+32*IF($E5='Escenarios'!$C$9,1,0)</x:f>
        <x:v>131</x:v>
      </x:c>
      <x:c r="K5" s="46" t="n">
        <x:f>$B5+16*(IF(OR($C5='Escenarios'!$A$10,$C5='Escenarios'!$B$10),1,0)+IF(OR($D5='Escenarios'!$A$10,$D5='Escenarios'!$B$10),1,0))+32*IF($E5='Escenarios'!$C$10,1,0)</x:f>
        <x:v>163</x:v>
      </x:c>
      <x:c r="L5" s="46" t="n">
        <x:f>$B5+16*(IF(OR($C5='Escenarios'!$A$11,$C5='Escenarios'!$B$11),1,0)+IF(OR($D5='Escenarios'!$A$11,$D5='Escenarios'!$B$11),1,0))+32*IF($E5='Escenarios'!$C$11,1,0)</x:f>
        <x:v>115</x:v>
      </x:c>
      <x:c r="M5" s="46" t="n">
        <x:f>$B5+16*(IF(OR($C5='Escenarios'!$A$12,$C5='Escenarios'!$B$12),1,0)+IF(OR($D5='Escenarios'!$A$12,$D5='Escenarios'!$B$12),1,0))+32*IF($E5='Escenarios'!$C$12,1,0)</x:f>
        <x:v>115</x:v>
      </x:c>
    </x:row>
    <x:row r="6">
      <x:c r="A6" s="42" t="str">
        <x:v>Julio</x:v>
      </x:c>
      <x:c r="B6" s="45" t="n">
        <x:v>63</x:v>
      </x:c>
      <x:c r="C6" s="42" t="str">
        <x:v>Alemania</x:v>
      </x:c>
      <x:c r="D6" s="42" t="str">
        <x:v>Inglaterra</x:v>
      </x:c>
      <x:c r="E6" s="42" t="str">
        <x:v>Alemania</x:v>
      </x:c>
      <x:c r="F6" s="46" t="n">
        <x:f>$B6+16*(IF(OR($C6='Escenarios'!$A$5,$C6='Escenarios'!$B$5),1,0)+IF(OR($D6='Escenarios'!$A$5,$D6='Escenarios'!$B$5),1,0))+32*IF($E6='Escenarios'!$C$5,1,0)</x:f>
        <x:v>79</x:v>
      </x:c>
      <x:c r="G6" s="46" t="n">
        <x:f>$B6+16*(IF(OR($C6='Escenarios'!$A$6,$C6='Escenarios'!$B$6),1,0)+IF(OR($D6='Escenarios'!$A$6,$D6='Escenarios'!$B$6),1,0))+32*IF($E6='Escenarios'!$C$6,1,0)</x:f>
        <x:v>79</x:v>
      </x:c>
      <x:c r="H6" s="46" t="n">
        <x:f>$B6+16*(IF(OR($C6='Escenarios'!$A$7,$C6='Escenarios'!$B$7),1,0)+IF(OR($D6='Escenarios'!$A$7,$D6='Escenarios'!$B$7),1,0))+32*IF($E6='Escenarios'!$C$7,1,0)</x:f>
        <x:v>63</x:v>
      </x:c>
      <x:c r="I6" s="46" t="n">
        <x:f>$B6+16*(IF(OR($C6='Escenarios'!$A$8,$C6='Escenarios'!$B$8),1,0)+IF(OR($D6='Escenarios'!$A$8,$D6='Escenarios'!$B$8),1,0))+32*IF($E6='Escenarios'!$C$8,1,0)</x:f>
        <x:v>63</x:v>
      </x:c>
      <x:c r="J6" s="46" t="n">
        <x:f>$B6+16*(IF(OR($C6='Escenarios'!$A$9,$C6='Escenarios'!$B$9),1,0)+IF(OR($D6='Escenarios'!$A$9,$D6='Escenarios'!$B$9),1,0))+32*IF($E6='Escenarios'!$C$9,1,0)</x:f>
        <x:v>79</x:v>
      </x:c>
      <x:c r="K6" s="46" t="n">
        <x:f>$B6+16*(IF(OR($C6='Escenarios'!$A$10,$C6='Escenarios'!$B$10),1,0)+IF(OR($D6='Escenarios'!$A$10,$D6='Escenarios'!$B$10),1,0))+32*IF($E6='Escenarios'!$C$10,1,0)</x:f>
        <x:v>79</x:v>
      </x:c>
      <x:c r="L6" s="46" t="n">
        <x:f>$B6+16*(IF(OR($C6='Escenarios'!$A$11,$C6='Escenarios'!$B$11),1,0)+IF(OR($D6='Escenarios'!$A$11,$D6='Escenarios'!$B$11),1,0))+32*IF($E6='Escenarios'!$C$11,1,0)</x:f>
        <x:v>63</x:v>
      </x:c>
      <x:c r="M6" s="46" t="n">
        <x:f>$B6+16*(IF(OR($C6='Escenarios'!$A$12,$C6='Escenarios'!$B$12),1,0)+IF(OR($D6='Escenarios'!$A$12,$D6='Escenarios'!$B$12),1,0))+32*IF($E6='Escenarios'!$C$12,1,0)</x:f>
        <x:v>63</x:v>
      </x:c>
    </x:row>
    <x:row r="7">
      <x:c r="A7" s="42" t="str">
        <x:v>Anabel</x:v>
      </x:c>
      <x:c r="B7" s="45" t="n">
        <x:v>88</x:v>
      </x:c>
      <x:c r="C7" s="42" t="str">
        <x:v>España</x:v>
      </x:c>
      <x:c r="D7" s="42" t="str">
        <x:v>Portugal</x:v>
      </x:c>
      <x:c r="E7" s="42" t="str">
        <x:v>España</x:v>
      </x:c>
      <x:c r="F7" s="46" t="n">
        <x:f>$B7+16*(IF(OR($C7='Escenarios'!$A$5,$C7='Escenarios'!$B$5),1,0)+IF(OR($D7='Escenarios'!$A$5,$D7='Escenarios'!$B$5),1,0))+32*IF($E7='Escenarios'!$C$5,1,0)</x:f>
        <x:v>88</x:v>
      </x:c>
      <x:c r="G7" s="46" t="n">
        <x:f>$B7+16*(IF(OR($C7='Escenarios'!$A$6,$C7='Escenarios'!$B$6),1,0)+IF(OR($D7='Escenarios'!$A$6,$D7='Escenarios'!$B$6),1,0))+32*IF($E7='Escenarios'!$C$6,1,0)</x:f>
        <x:v>88</x:v>
      </x:c>
      <x:c r="H7" s="46" t="n">
        <x:f>$B7+16*(IF(OR($C7='Escenarios'!$A$7,$C7='Escenarios'!$B$7),1,0)+IF(OR($D7='Escenarios'!$A$7,$D7='Escenarios'!$B$7),1,0))+32*IF($E7='Escenarios'!$C$7,1,0)</x:f>
        <x:v>88</x:v>
      </x:c>
      <x:c r="I7" s="46" t="n">
        <x:f>$B7+16*(IF(OR($C7='Escenarios'!$A$8,$C7='Escenarios'!$B$8),1,0)+IF(OR($D7='Escenarios'!$A$8,$D7='Escenarios'!$B$8),1,0))+32*IF($E7='Escenarios'!$C$8,1,0)</x:f>
        <x:v>88</x:v>
      </x:c>
      <x:c r="J7" s="46" t="n">
        <x:f>$B7+16*(IF(OR($C7='Escenarios'!$A$9,$C7='Escenarios'!$B$9),1,0)+IF(OR($D7='Escenarios'!$A$9,$D7='Escenarios'!$B$9),1,0))+32*IF($E7='Escenarios'!$C$9,1,0)</x:f>
        <x:v>136</x:v>
      </x:c>
      <x:c r="K7" s="46" t="n">
        <x:f>$B7+16*(IF(OR($C7='Escenarios'!$A$10,$C7='Escenarios'!$B$10),1,0)+IF(OR($D7='Escenarios'!$A$10,$D7='Escenarios'!$B$10),1,0))+32*IF($E7='Escenarios'!$C$10,1,0)</x:f>
        <x:v>104</x:v>
      </x:c>
      <x:c r="L7" s="46" t="n">
        <x:f>$B7+16*(IF(OR($C7='Escenarios'!$A$11,$C7='Escenarios'!$B$11),1,0)+IF(OR($D7='Escenarios'!$A$11,$D7='Escenarios'!$B$11),1,0))+32*IF($E7='Escenarios'!$C$11,1,0)</x:f>
        <x:v>136</x:v>
      </x:c>
      <x:c r="M7" s="46" t="n">
        <x:f>$B7+16*(IF(OR($C7='Escenarios'!$A$12,$C7='Escenarios'!$B$12),1,0)+IF(OR($D7='Escenarios'!$A$12,$D7='Escenarios'!$B$12),1,0))+32*IF($E7='Escenarios'!$C$12,1,0)</x:f>
        <x:v>104</x:v>
      </x:c>
    </x:row>
    <x:row r="8">
      <x:c r="A8" s="42" t="str">
        <x:v>Ángel</x:v>
      </x:c>
      <x:c r="B8" s="45" t="n">
        <x:v>103</x:v>
      </x:c>
      <x:c r="C8" s="42" t="str">
        <x:v>España</x:v>
      </x:c>
      <x:c r="D8" s="42" t="str">
        <x:v>Argentina</x:v>
      </x:c>
      <x:c r="E8" s="42" t="str">
        <x:v>Argentina</x:v>
      </x:c>
      <x:c r="F8" s="46" t="n">
        <x:f>$B8+16*(IF(OR($C8='Escenarios'!$A$5,$C8='Escenarios'!$B$5),1,0)+IF(OR($D8='Escenarios'!$A$5,$D8='Escenarios'!$B$5),1,0))+32*IF($E8='Escenarios'!$C$5,1,0)</x:f>
        <x:v>103</x:v>
      </x:c>
      <x:c r="G8" s="46" t="n">
        <x:f>$B8+16*(IF(OR($C8='Escenarios'!$A$6,$C8='Escenarios'!$B$6),1,0)+IF(OR($D8='Escenarios'!$A$6,$D8='Escenarios'!$B$6),1,0))+32*IF($E8='Escenarios'!$C$6,1,0)</x:f>
        <x:v>103</x:v>
      </x:c>
      <x:c r="H8" s="46" t="n">
        <x:f>$B8+16*(IF(OR($C8='Escenarios'!$A$7,$C8='Escenarios'!$B$7),1,0)+IF(OR($D8='Escenarios'!$A$7,$D8='Escenarios'!$B$7),1,0))+32*IF($E8='Escenarios'!$C$7,1,0)</x:f>
        <x:v>119</x:v>
      </x:c>
      <x:c r="I8" s="46" t="n">
        <x:f>$B8+16*(IF(OR($C8='Escenarios'!$A$8,$C8='Escenarios'!$B$8),1,0)+IF(OR($D8='Escenarios'!$A$8,$D8='Escenarios'!$B$8),1,0))+32*IF($E8='Escenarios'!$C$8,1,0)</x:f>
        <x:v>151</x:v>
      </x:c>
      <x:c r="J8" s="46" t="n">
        <x:f>$B8+16*(IF(OR($C8='Escenarios'!$A$9,$C8='Escenarios'!$B$9),1,0)+IF(OR($D8='Escenarios'!$A$9,$D8='Escenarios'!$B$9),1,0))+32*IF($E8='Escenarios'!$C$9,1,0)</x:f>
        <x:v>119</x:v>
      </x:c>
      <x:c r="K8" s="46" t="n">
        <x:f>$B8+16*(IF(OR($C8='Escenarios'!$A$10,$C8='Escenarios'!$B$10),1,0)+IF(OR($D8='Escenarios'!$A$10,$D8='Escenarios'!$B$10),1,0))+32*IF($E8='Escenarios'!$C$10,1,0)</x:f>
        <x:v>119</x:v>
      </x:c>
      <x:c r="L8" s="46" t="n">
        <x:f>$B8+16*(IF(OR($C8='Escenarios'!$A$11,$C8='Escenarios'!$B$11),1,0)+IF(OR($D8='Escenarios'!$A$11,$D8='Escenarios'!$B$11),1,0))+32*IF($E8='Escenarios'!$C$11,1,0)</x:f>
        <x:v>135</x:v>
      </x:c>
      <x:c r="M8" s="46" t="n">
        <x:f>$B8+16*(IF(OR($C8='Escenarios'!$A$12,$C8='Escenarios'!$B$12),1,0)+IF(OR($D8='Escenarios'!$A$12,$D8='Escenarios'!$B$12),1,0))+32*IF($E8='Escenarios'!$C$12,1,0)</x:f>
        <x:v>167</x:v>
      </x:c>
    </x:row>
    <x:row r="9">
      <x:c r="A9" s="42" t="str">
        <x:v>Juli</x:v>
      </x:c>
      <x:c r="B9" s="45" t="n">
        <x:v>84</x:v>
      </x:c>
      <x:c r="C9" s="42" t="str">
        <x:v>Francia</x:v>
      </x:c>
      <x:c r="D9" s="42" t="str">
        <x:v>Brasil</x:v>
      </x:c>
      <x:c r="E9" s="42" t="str">
        <x:v>Brasil</x:v>
      </x:c>
      <x:c r="F9" s="46" t="n">
        <x:f>$B9+16*(IF(OR($C9='Escenarios'!$A$5,$C9='Escenarios'!$B$5),1,0)+IF(OR($D9='Escenarios'!$A$5,$D9='Escenarios'!$B$5),1,0))+32*IF($E9='Escenarios'!$C$5,1,0)</x:f>
        <x:v>100</x:v>
      </x:c>
      <x:c r="G9" s="46" t="n">
        <x:f>$B9+16*(IF(OR($C9='Escenarios'!$A$6,$C9='Escenarios'!$B$6),1,0)+IF(OR($D9='Escenarios'!$A$6,$D9='Escenarios'!$B$6),1,0))+32*IF($E9='Escenarios'!$C$6,1,0)</x:f>
        <x:v>100</x:v>
      </x:c>
      <x:c r="H9" s="46" t="n">
        <x:f>$B9+16*(IF(OR($C9='Escenarios'!$A$7,$C9='Escenarios'!$B$7),1,0)+IF(OR($D9='Escenarios'!$A$7,$D9='Escenarios'!$B$7),1,0))+32*IF($E9='Escenarios'!$C$7,1,0)</x:f>
        <x:v>100</x:v>
      </x:c>
      <x:c r="I9" s="46" t="n">
        <x:f>$B9+16*(IF(OR($C9='Escenarios'!$A$8,$C9='Escenarios'!$B$8),1,0)+IF(OR($D9='Escenarios'!$A$8,$D9='Escenarios'!$B$8),1,0))+32*IF($E9='Escenarios'!$C$8,1,0)</x:f>
        <x:v>100</x:v>
      </x:c>
      <x:c r="J9" s="46" t="n">
        <x:f>$B9+16*(IF(OR($C9='Escenarios'!$A$9,$C9='Escenarios'!$B$9),1,0)+IF(OR($D9='Escenarios'!$A$9,$D9='Escenarios'!$B$9),1,0))+32*IF($E9='Escenarios'!$C$9,1,0)</x:f>
        <x:v>84</x:v>
      </x:c>
      <x:c r="K9" s="46" t="n">
        <x:f>$B9+16*(IF(OR($C9='Escenarios'!$A$10,$C9='Escenarios'!$B$10),1,0)+IF(OR($D9='Escenarios'!$A$10,$D9='Escenarios'!$B$10),1,0))+32*IF($E9='Escenarios'!$C$10,1,0)</x:f>
        <x:v>84</x:v>
      </x:c>
      <x:c r="L9" s="46" t="n">
        <x:f>$B9+16*(IF(OR($C9='Escenarios'!$A$11,$C9='Escenarios'!$B$11),1,0)+IF(OR($D9='Escenarios'!$A$11,$D9='Escenarios'!$B$11),1,0))+32*IF($E9='Escenarios'!$C$11,1,0)</x:f>
        <x:v>84</x:v>
      </x:c>
      <x:c r="M9" s="46" t="n">
        <x:f>$B9+16*(IF(OR($C9='Escenarios'!$A$12,$C9='Escenarios'!$B$12),1,0)+IF(OR($D9='Escenarios'!$A$12,$D9='Escenarios'!$B$12),1,0))+32*IF($E9='Escenarios'!$C$12,1,0)</x:f>
        <x:v>84</x:v>
      </x:c>
    </x:row>
    <x:row r="10">
      <x:c r="A10" s="42" t="str">
        <x:v>Lucía</x:v>
      </x:c>
      <x:c r="B10" s="45" t="n">
        <x:v>84</x:v>
      </x:c>
      <x:c r="C10" s="42" t="str">
        <x:v>España</x:v>
      </x:c>
      <x:c r="D10" s="42" t="str">
        <x:v>Portugal</x:v>
      </x:c>
      <x:c r="E10" s="42" t="str">
        <x:v>España</x:v>
      </x:c>
      <x:c r="F10" s="46" t="n">
        <x:f>$B10+16*(IF(OR($C10='Escenarios'!$A$5,$C10='Escenarios'!$B$5),1,0)+IF(OR($D10='Escenarios'!$A$5,$D10='Escenarios'!$B$5),1,0))+32*IF($E10='Escenarios'!$C$5,1,0)</x:f>
        <x:v>84</x:v>
      </x:c>
      <x:c r="G10" s="46" t="n">
        <x:f>$B10+16*(IF(OR($C10='Escenarios'!$A$6,$C10='Escenarios'!$B$6),1,0)+IF(OR($D10='Escenarios'!$A$6,$D10='Escenarios'!$B$6),1,0))+32*IF($E10='Escenarios'!$C$6,1,0)</x:f>
        <x:v>84</x:v>
      </x:c>
      <x:c r="H10" s="46" t="n">
        <x:f>$B10+16*(IF(OR($C10='Escenarios'!$A$7,$C10='Escenarios'!$B$7),1,0)+IF(OR($D10='Escenarios'!$A$7,$D10='Escenarios'!$B$7),1,0))+32*IF($E10='Escenarios'!$C$7,1,0)</x:f>
        <x:v>84</x:v>
      </x:c>
      <x:c r="I10" s="46" t="n">
        <x:f>$B10+16*(IF(OR($C10='Escenarios'!$A$8,$C10='Escenarios'!$B$8),1,0)+IF(OR($D10='Escenarios'!$A$8,$D10='Escenarios'!$B$8),1,0))+32*IF($E10='Escenarios'!$C$8,1,0)</x:f>
        <x:v>84</x:v>
      </x:c>
      <x:c r="J10" s="46" t="n">
        <x:f>$B10+16*(IF(OR($C10='Escenarios'!$A$9,$C10='Escenarios'!$B$9),1,0)+IF(OR($D10='Escenarios'!$A$9,$D10='Escenarios'!$B$9),1,0))+32*IF($E10='Escenarios'!$C$9,1,0)</x:f>
        <x:v>132</x:v>
      </x:c>
      <x:c r="K10" s="46" t="n">
        <x:f>$B10+16*(IF(OR($C10='Escenarios'!$A$10,$C10='Escenarios'!$B$10),1,0)+IF(OR($D10='Escenarios'!$A$10,$D10='Escenarios'!$B$10),1,0))+32*IF($E10='Escenarios'!$C$10,1,0)</x:f>
        <x:v>100</x:v>
      </x:c>
      <x:c r="L10" s="46" t="n">
        <x:f>$B10+16*(IF(OR($C10='Escenarios'!$A$11,$C10='Escenarios'!$B$11),1,0)+IF(OR($D10='Escenarios'!$A$11,$D10='Escenarios'!$B$11),1,0))+32*IF($E10='Escenarios'!$C$11,1,0)</x:f>
        <x:v>132</x:v>
      </x:c>
      <x:c r="M10" s="46" t="n">
        <x:f>$B10+16*(IF(OR($C10='Escenarios'!$A$12,$C10='Escenarios'!$B$12),1,0)+IF(OR($D10='Escenarios'!$A$12,$D10='Escenarios'!$B$12),1,0))+32*IF($E10='Escenarios'!$C$12,1,0)</x:f>
        <x:v>100</x:v>
      </x:c>
    </x:row>
    <x:row r="11">
      <x:c r="A11" s="42" t="str">
        <x:v>Pablo</x:v>
      </x:c>
      <x:c r="B11" s="45" t="n">
        <x:v>97</x:v>
      </x:c>
      <x:c r="C11" s="42" t="str">
        <x:v>España</x:v>
      </x:c>
      <x:c r="D11" s="42" t="str">
        <x:v>Portugal</x:v>
      </x:c>
      <x:c r="E11" s="42" t="str">
        <x:v>España</x:v>
      </x:c>
      <x:c r="F11" s="46" t="n">
        <x:f>$B11+16*(IF(OR($C11='Escenarios'!$A$5,$C11='Escenarios'!$B$5),1,0)+IF(OR($D11='Escenarios'!$A$5,$D11='Escenarios'!$B$5),1,0))+32*IF($E11='Escenarios'!$C$5,1,0)</x:f>
        <x:v>97</x:v>
      </x:c>
      <x:c r="G11" s="46" t="n">
        <x:f>$B11+16*(IF(OR($C11='Escenarios'!$A$6,$C11='Escenarios'!$B$6),1,0)+IF(OR($D11='Escenarios'!$A$6,$D11='Escenarios'!$B$6),1,0))+32*IF($E11='Escenarios'!$C$6,1,0)</x:f>
        <x:v>97</x:v>
      </x:c>
      <x:c r="H11" s="46" t="n">
        <x:f>$B11+16*(IF(OR($C11='Escenarios'!$A$7,$C11='Escenarios'!$B$7),1,0)+IF(OR($D11='Escenarios'!$A$7,$D11='Escenarios'!$B$7),1,0))+32*IF($E11='Escenarios'!$C$7,1,0)</x:f>
        <x:v>97</x:v>
      </x:c>
      <x:c r="I11" s="46" t="n">
        <x:f>$B11+16*(IF(OR($C11='Escenarios'!$A$8,$C11='Escenarios'!$B$8),1,0)+IF(OR($D11='Escenarios'!$A$8,$D11='Escenarios'!$B$8),1,0))+32*IF($E11='Escenarios'!$C$8,1,0)</x:f>
        <x:v>97</x:v>
      </x:c>
      <x:c r="J11" s="46" t="n">
        <x:f>$B11+16*(IF(OR($C11='Escenarios'!$A$9,$C11='Escenarios'!$B$9),1,0)+IF(OR($D11='Escenarios'!$A$9,$D11='Escenarios'!$B$9),1,0))+32*IF($E11='Escenarios'!$C$9,1,0)</x:f>
        <x:v>145</x:v>
      </x:c>
      <x:c r="K11" s="46" t="n">
        <x:f>$B11+16*(IF(OR($C11='Escenarios'!$A$10,$C11='Escenarios'!$B$10),1,0)+IF(OR($D11='Escenarios'!$A$10,$D11='Escenarios'!$B$10),1,0))+32*IF($E11='Escenarios'!$C$10,1,0)</x:f>
        <x:v>113</x:v>
      </x:c>
      <x:c r="L11" s="46" t="n">
        <x:f>$B11+16*(IF(OR($C11='Escenarios'!$A$11,$C11='Escenarios'!$B$11),1,0)+IF(OR($D11='Escenarios'!$A$11,$D11='Escenarios'!$B$11),1,0))+32*IF($E11='Escenarios'!$C$11,1,0)</x:f>
        <x:v>145</x:v>
      </x:c>
      <x:c r="M11" s="46" t="n">
        <x:f>$B11+16*(IF(OR($C11='Escenarios'!$A$12,$C11='Escenarios'!$B$12),1,0)+IF(OR($D11='Escenarios'!$A$12,$D11='Escenarios'!$B$12),1,0))+32*IF($E11='Escenarios'!$C$12,1,0)</x:f>
        <x:v>113</x:v>
      </x:c>
    </x:row>
    <x:row r="12">
      <x:c r="A12" s="42" t="str">
        <x:v>Jose</x:v>
      </x:c>
      <x:c r="B12" s="45" t="n">
        <x:v>80</x:v>
      </x:c>
      <x:c r="C12" s="42" t="str">
        <x:v>Francia</x:v>
      </x:c>
      <x:c r="D12" s="42" t="str">
        <x:v>México</x:v>
      </x:c>
      <x:c r="E12" s="42" t="str">
        <x:v>Francia</x:v>
      </x:c>
      <x:c r="F12" s="46" t="n">
        <x:f>$B12+16*(IF(OR($C12='Escenarios'!$A$5,$C12='Escenarios'!$B$5),1,0)+IF(OR($D12='Escenarios'!$A$5,$D12='Escenarios'!$B$5),1,0))+32*IF($E12='Escenarios'!$C$5,1,0)</x:f>
        <x:v>128</x:v>
      </x:c>
      <x:c r="G12" s="46" t="n">
        <x:f>$B12+16*(IF(OR($C12='Escenarios'!$A$6,$C12='Escenarios'!$B$6),1,0)+IF(OR($D12='Escenarios'!$A$6,$D12='Escenarios'!$B$6),1,0))+32*IF($E12='Escenarios'!$C$6,1,0)</x:f>
        <x:v>96</x:v>
      </x:c>
      <x:c r="H12" s="46" t="n">
        <x:f>$B12+16*(IF(OR($C12='Escenarios'!$A$7,$C12='Escenarios'!$B$7),1,0)+IF(OR($D12='Escenarios'!$A$7,$D12='Escenarios'!$B$7),1,0))+32*IF($E12='Escenarios'!$C$7,1,0)</x:f>
        <x:v>128</x:v>
      </x:c>
      <x:c r="I12" s="46" t="n">
        <x:f>$B12+16*(IF(OR($C12='Escenarios'!$A$8,$C12='Escenarios'!$B$8),1,0)+IF(OR($D12='Escenarios'!$A$8,$D12='Escenarios'!$B$8),1,0))+32*IF($E12='Escenarios'!$C$8,1,0)</x:f>
        <x:v>96</x:v>
      </x:c>
      <x:c r="J12" s="46" t="n">
        <x:f>$B12+16*(IF(OR($C12='Escenarios'!$A$9,$C12='Escenarios'!$B$9),1,0)+IF(OR($D12='Escenarios'!$A$9,$D12='Escenarios'!$B$9),1,0))+32*IF($E12='Escenarios'!$C$9,1,0)</x:f>
        <x:v>80</x:v>
      </x:c>
      <x:c r="K12" s="46" t="n">
        <x:f>$B12+16*(IF(OR($C12='Escenarios'!$A$10,$C12='Escenarios'!$B$10),1,0)+IF(OR($D12='Escenarios'!$A$10,$D12='Escenarios'!$B$10),1,0))+32*IF($E12='Escenarios'!$C$10,1,0)</x:f>
        <x:v>80</x:v>
      </x:c>
      <x:c r="L12" s="46" t="n">
        <x:f>$B12+16*(IF(OR($C12='Escenarios'!$A$11,$C12='Escenarios'!$B$11),1,0)+IF(OR($D12='Escenarios'!$A$11,$D12='Escenarios'!$B$11),1,0))+32*IF($E12='Escenarios'!$C$11,1,0)</x:f>
        <x:v>80</x:v>
      </x:c>
      <x:c r="M12" s="46" t="n">
        <x:f>$B12+16*(IF(OR($C12='Escenarios'!$A$12,$C12='Escenarios'!$B$12),1,0)+IF(OR($D12='Escenarios'!$A$12,$D12='Escenarios'!$B$12),1,0))+32*IF($E12='Escenarios'!$C$12,1,0)</x:f>
        <x:v>80</x:v>
      </x:c>
    </x:row>
    <x:row r="14">
      <x:c r="A14" s="49" t="str">
        <x:v>Reglas</x:v>
      </x:c>
      <x:c r="B14" s="49" t="str">
        <x:v>16 puntos por finalista acertado</x:v>
      </x:c>
      <x:c r="C14" s="49" t="str">
        <x:v>32 puntos por campeón acertado</x:v>
      </x:c>
      <x:c r="D14" s="49" t="str">
        <x:v>El tercer puesto del Mundial no puntúa</x:v>
      </x:c>
      <x:c r="E14" s="49" t="str">
        <x:v>ChatGPT excluido</x:v>
      </x:c>
    </x:row>
  </x:sheetData>
  <x:mergeCells>
    <x:mergeCell ref="A1:M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3" max="3" width="78" hidden="0" customWidth="1"/>
  </x:cols>
  <x:sheetData>
    <x:row r="1">
      <x:c r="A1" s="50" t="str">
        <x:v>Fuente / supuesto</x:v>
      </x:c>
      <x:c r="B1" s="50" t="str">
        <x:v>Dato utilizado</x:v>
      </x:c>
      <x:c r="C1" s="50" t="str">
        <x:v>URL</x:v>
      </x:c>
    </x:row>
    <x:row r="2" ht="42" customHeight="1">
      <x:c r="A2" s="54" t="str">
        <x:v>Semifinalistas</x:v>
      </x:c>
      <x:c r="B2" s="54" t="str">
        <x:v>Francia–España e Inglaterra–Argentina</x:v>
      </x:c>
      <x:c r="C2" s="54" t="str">
        <x:v>https://www.rtve.es/deportes/20260712/mundial-2026-cuadro-semifinales-francia-espana-inglaterra-argentina/17153423.shtml</x:v>
      </x:c>
    </x:row>
    <x:row r="3" ht="42" customHeight="1">
      <x:c r="A3" s="54" t="str">
        <x:v>Cuartofinalistas</x:v>
      </x:c>
      <x:c r="B3" s="54" t="str">
        <x:v>Francia, Marruecos, Noruega, Inglaterra, España, Bélgica, Argentina y Suiza</x:v>
      </x:c>
      <x:c r="C3" s="54" t="str">
        <x:v>https://www.aljazeera.com/news/2026/7/8/world-cup-2026-quarterfinals-full-schedule-and-egypt-fifa-dispute</x:v>
      </x:c>
    </x:row>
    <x:row r="4" ht="42" customHeight="1">
      <x:c r="A4" s="54" t="str">
        <x:v>Reglas de la porra</x:v>
      </x:c>
      <x:c r="B4" s="54" t="str">
        <x:v>1/2/4/8/16/32 puntos; tercer puesto sin puntos</x:v>
      </x:c>
      <x:c r="C4" s="54" t="str">
        <x:v>Archivo local app.js</x:v>
      </x:c>
    </x:row>
    <x:row r="5" ht="42" customHeight="1">
      <x:c r="A5" s="54" t="str">
        <x:v>Fecha de cálculo</x:v>
      </x:c>
      <x:c r="B5" s="54" t="str">
        <x:v>14 de julio de 2026 (Europe/Madrid)</x:v>
      </x:c>
      <x:c r="C5" s="54" t="str"/>
    </x:row>
  </x:sheetData>
  <x:pageMargins left="0.7" right="0.7" top="0.75" bottom="0.75" header="0.3" footer="0.3"/>
</x:worksheet>
</file>